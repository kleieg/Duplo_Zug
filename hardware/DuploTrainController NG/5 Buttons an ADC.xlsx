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SD1000/2_Workbench/2_HW_Projekte/4_Realisierte_Projekte/20_Duplo Train Controller NG/DuploTrain-NG/hardware/DuploTrainController NG/"/>
    </mc:Choice>
  </mc:AlternateContent>
  <xr:revisionPtr revIDLastSave="0" documentId="13_ncr:1_{2FF687E0-54A8-1A4D-BDD3-0079CB8BEFF9}" xr6:coauthVersionLast="47" xr6:coauthVersionMax="47" xr10:uidLastSave="{00000000-0000-0000-0000-000000000000}"/>
  <bookViews>
    <workbookView xWindow="-30620" yWindow="1340" windowWidth="28800" windowHeight="16260" xr2:uid="{3208A821-9F98-A04C-982F-D10FE78BA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3" i="1"/>
  <c r="N8" i="1"/>
  <c r="O9" i="1" s="1"/>
  <c r="N7" i="1"/>
  <c r="N6" i="1"/>
  <c r="N5" i="1"/>
  <c r="N4" i="1"/>
  <c r="N3" i="1"/>
  <c r="O3" i="1" s="1"/>
  <c r="H8" i="1"/>
  <c r="F8" i="1"/>
  <c r="F7" i="1"/>
  <c r="F6" i="1"/>
  <c r="F5" i="1"/>
  <c r="F4" i="1"/>
  <c r="F3" i="1"/>
  <c r="G3" i="1" s="1"/>
  <c r="H7" i="1"/>
  <c r="H4" i="1"/>
  <c r="H5" i="1"/>
  <c r="H6" i="1"/>
  <c r="H3" i="1"/>
  <c r="O4" i="1" l="1"/>
  <c r="G5" i="1"/>
  <c r="O5" i="1"/>
  <c r="O6" i="1"/>
  <c r="O7" i="1"/>
  <c r="O8" i="1"/>
  <c r="G4" i="1"/>
  <c r="G8" i="1"/>
  <c r="G7" i="1"/>
  <c r="G6" i="1"/>
</calcChain>
</file>

<file path=xl/sharedStrings.xml><?xml version="1.0" encoding="utf-8"?>
<sst xmlns="http://schemas.openxmlformats.org/spreadsheetml/2006/main" count="40" uniqueCount="34">
  <si>
    <t>R1</t>
  </si>
  <si>
    <t>R0</t>
  </si>
  <si>
    <t>R2</t>
  </si>
  <si>
    <t>R3</t>
  </si>
  <si>
    <t>R4</t>
  </si>
  <si>
    <t>x1</t>
  </si>
  <si>
    <t>x2</t>
  </si>
  <si>
    <t>x3</t>
  </si>
  <si>
    <t>x4</t>
  </si>
  <si>
    <t>x5</t>
  </si>
  <si>
    <t xml:space="preserve"> k</t>
  </si>
  <si>
    <t>Ucc</t>
  </si>
  <si>
    <t>Imax</t>
  </si>
  <si>
    <t>1mA</t>
  </si>
  <si>
    <t>Rges in k</t>
  </si>
  <si>
    <t>Rn in k</t>
  </si>
  <si>
    <t>Uadc in V</t>
  </si>
  <si>
    <t>R5</t>
  </si>
  <si>
    <t>x6</t>
  </si>
  <si>
    <t>open</t>
  </si>
  <si>
    <t>delta</t>
  </si>
  <si>
    <t>Record</t>
  </si>
  <si>
    <t>Play</t>
  </si>
  <si>
    <t>Stop</t>
  </si>
  <si>
    <t>Water</t>
  </si>
  <si>
    <t>LED Cycle</t>
  </si>
  <si>
    <t>Sound Cycle</t>
  </si>
  <si>
    <t>alle offen</t>
  </si>
  <si>
    <t>R E12 in k</t>
  </si>
  <si>
    <t>Sound</t>
  </si>
  <si>
    <t>Light</t>
  </si>
  <si>
    <t>Button</t>
  </si>
  <si>
    <t>Function</t>
  </si>
  <si>
    <t>ADC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</si>
</sst>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7360-B5FE-4F4C-8CDE-BD5A4372B6AA}">
  <dimension ref="A1:S13"/>
  <sheetViews>
    <sheetView tabSelected="1" workbookViewId="0">
      <selection activeCell="G17" sqref="G17"/>
    </sheetView>
  </sheetViews>
  <sheetFormatPr baseColWidth="10" defaultRowHeight="16" x14ac:dyDescent="0.2"/>
  <cols>
    <col min="6" max="6" width="12.6640625" bestFit="1" customWidth="1"/>
    <col min="12" max="12" width="15" customWidth="1"/>
    <col min="14" max="14" width="11.6640625" bestFit="1" customWidth="1"/>
    <col min="17" max="17" width="14.6640625" bestFit="1" customWidth="1"/>
  </cols>
  <sheetData>
    <row r="1" spans="1:19" x14ac:dyDescent="0.2">
      <c r="A1" s="1" t="s">
        <v>1</v>
      </c>
      <c r="B1" s="1"/>
      <c r="C1" s="1">
        <v>2.2000000000000002</v>
      </c>
      <c r="D1" s="1" t="s">
        <v>10</v>
      </c>
      <c r="E1" s="1"/>
      <c r="F1" s="1" t="s">
        <v>14</v>
      </c>
      <c r="G1" s="1" t="s">
        <v>15</v>
      </c>
      <c r="H1" s="1" t="s">
        <v>16</v>
      </c>
      <c r="I1" s="1"/>
      <c r="J1" s="2" t="s">
        <v>32</v>
      </c>
      <c r="K1" s="1"/>
      <c r="L1" s="1" t="s">
        <v>28</v>
      </c>
      <c r="M1" s="1"/>
      <c r="N1" s="1" t="s">
        <v>16</v>
      </c>
      <c r="O1" s="1" t="s">
        <v>20</v>
      </c>
      <c r="P1" s="1"/>
      <c r="Q1" s="1" t="s">
        <v>33</v>
      </c>
      <c r="R1" s="1"/>
      <c r="S1" s="1" t="s">
        <v>31</v>
      </c>
    </row>
    <row r="2" spans="1:19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 t="s">
        <v>5</v>
      </c>
      <c r="B3" s="1"/>
      <c r="C3" s="1">
        <v>0.15</v>
      </c>
      <c r="D3" s="1"/>
      <c r="E3" s="1" t="s">
        <v>0</v>
      </c>
      <c r="F3" s="3">
        <f t="shared" ref="F3:F8" si="0">C3/(1-C3)*$C$1</f>
        <v>0.38823529411764712</v>
      </c>
      <c r="G3" s="3">
        <f>F3</f>
        <v>0.38823529411764712</v>
      </c>
      <c r="H3" s="1">
        <f>C3*3.3</f>
        <v>0.49499999999999994</v>
      </c>
      <c r="I3" s="1"/>
      <c r="J3" s="1" t="s">
        <v>21</v>
      </c>
      <c r="K3" s="1"/>
      <c r="L3" s="1">
        <v>0.43</v>
      </c>
      <c r="M3" s="1"/>
      <c r="N3" s="4">
        <f>$D$12*L3/($C$1+L3)</f>
        <v>0.53954372623574132</v>
      </c>
      <c r="O3" s="4">
        <f>N3</f>
        <v>0.53954372623574132</v>
      </c>
      <c r="P3" s="1"/>
      <c r="Q3" s="5">
        <f>N3/$N$9*4096</f>
        <v>669.68821292775658</v>
      </c>
      <c r="R3" s="1"/>
      <c r="S3" s="1" t="s">
        <v>21</v>
      </c>
    </row>
    <row r="4" spans="1:19" x14ac:dyDescent="0.2">
      <c r="A4" s="1" t="s">
        <v>6</v>
      </c>
      <c r="B4" s="1"/>
      <c r="C4" s="1">
        <v>0.3</v>
      </c>
      <c r="D4" s="1"/>
      <c r="E4" s="1" t="s">
        <v>2</v>
      </c>
      <c r="F4" s="3">
        <f t="shared" si="0"/>
        <v>0.94285714285714295</v>
      </c>
      <c r="G4" s="3">
        <f>F4-G3</f>
        <v>0.55462184873949583</v>
      </c>
      <c r="H4" s="1">
        <f t="shared" ref="H4:H7" si="1">C4*3.3</f>
        <v>0.98999999999999988</v>
      </c>
      <c r="I4" s="1"/>
      <c r="J4" s="1" t="s">
        <v>22</v>
      </c>
      <c r="K4" s="1"/>
      <c r="L4" s="1">
        <v>0.62</v>
      </c>
      <c r="M4" s="1"/>
      <c r="N4" s="4">
        <f>$D$12*(L4+L3)/($C$1+L4+L3)</f>
        <v>1.066153846153846</v>
      </c>
      <c r="O4" s="4">
        <f>N4-N3</f>
        <v>0.52661011991810469</v>
      </c>
      <c r="P4" s="1"/>
      <c r="Q4" s="5">
        <f t="shared" ref="Q4:Q9" si="2">N4/$N$9*4096</f>
        <v>1323.3230769230768</v>
      </c>
      <c r="R4" s="1"/>
      <c r="S4" s="1" t="s">
        <v>22</v>
      </c>
    </row>
    <row r="5" spans="1:19" x14ac:dyDescent="0.2">
      <c r="A5" s="1" t="s">
        <v>7</v>
      </c>
      <c r="B5" s="1"/>
      <c r="C5" s="1">
        <v>0.45</v>
      </c>
      <c r="D5" s="1"/>
      <c r="E5" s="1" t="s">
        <v>3</v>
      </c>
      <c r="F5" s="3">
        <f t="shared" si="0"/>
        <v>1.8</v>
      </c>
      <c r="G5" s="3">
        <f>F5-F4</f>
        <v>0.8571428571428571</v>
      </c>
      <c r="H5" s="1">
        <f t="shared" si="1"/>
        <v>1.4849999999999999</v>
      </c>
      <c r="I5" s="1"/>
      <c r="J5" s="1" t="s">
        <v>23</v>
      </c>
      <c r="K5" s="1"/>
      <c r="L5" s="1">
        <v>0.91</v>
      </c>
      <c r="M5" s="1"/>
      <c r="N5" s="4">
        <f>$D$12*(L5+L4+L3)/($C$1+L5+L4+L3)</f>
        <v>1.5548076923076923</v>
      </c>
      <c r="O5" s="4">
        <f t="shared" ref="O5:O9" si="3">N5-N4</f>
        <v>0.48865384615384633</v>
      </c>
      <c r="P5" s="1"/>
      <c r="Q5" s="5">
        <f t="shared" si="2"/>
        <v>1929.846153846154</v>
      </c>
      <c r="R5" s="1"/>
      <c r="S5" s="1" t="s">
        <v>23</v>
      </c>
    </row>
    <row r="6" spans="1:19" x14ac:dyDescent="0.2">
      <c r="A6" s="1" t="s">
        <v>8</v>
      </c>
      <c r="B6" s="1"/>
      <c r="C6" s="1">
        <v>0.6</v>
      </c>
      <c r="D6" s="1"/>
      <c r="E6" s="1" t="s">
        <v>4</v>
      </c>
      <c r="F6" s="3">
        <f t="shared" si="0"/>
        <v>3.3</v>
      </c>
      <c r="G6" s="3">
        <f>F6-F5</f>
        <v>1.4999999999999998</v>
      </c>
      <c r="H6" s="1">
        <f t="shared" si="1"/>
        <v>1.9799999999999998</v>
      </c>
      <c r="I6" s="1"/>
      <c r="J6" s="1" t="s">
        <v>24</v>
      </c>
      <c r="K6" s="1"/>
      <c r="L6" s="1">
        <v>1.5</v>
      </c>
      <c r="M6" s="1"/>
      <c r="N6" s="4">
        <f>$D$12*(L6+L5+L4+L3)/($C$1+L6+L5+L4+L3)</f>
        <v>2.0173144876325089</v>
      </c>
      <c r="O6" s="4">
        <f t="shared" si="3"/>
        <v>0.46250679532481653</v>
      </c>
      <c r="P6" s="1"/>
      <c r="Q6" s="5">
        <f t="shared" si="2"/>
        <v>2503.9151943462898</v>
      </c>
      <c r="R6" s="1"/>
      <c r="S6" s="1" t="s">
        <v>24</v>
      </c>
    </row>
    <row r="7" spans="1:19" x14ac:dyDescent="0.2">
      <c r="A7" s="1" t="s">
        <v>9</v>
      </c>
      <c r="B7" s="1"/>
      <c r="C7" s="1">
        <v>0.75</v>
      </c>
      <c r="D7" s="1"/>
      <c r="E7" s="1" t="s">
        <v>17</v>
      </c>
      <c r="F7" s="3">
        <f t="shared" si="0"/>
        <v>6.6000000000000005</v>
      </c>
      <c r="G7" s="3">
        <f>F7-F6</f>
        <v>3.3000000000000007</v>
      </c>
      <c r="H7" s="1">
        <f t="shared" si="1"/>
        <v>2.4749999999999996</v>
      </c>
      <c r="I7" s="1"/>
      <c r="J7" s="1" t="s">
        <v>25</v>
      </c>
      <c r="K7" s="1"/>
      <c r="L7" s="1">
        <v>3.3</v>
      </c>
      <c r="M7" s="1"/>
      <c r="N7" s="4">
        <f>$D$12*(L7+L6+L5+L4+L3)/($C$1+L7+L6+L5+L4+L3)</f>
        <v>2.4897321428571431</v>
      </c>
      <c r="O7" s="4">
        <f t="shared" si="3"/>
        <v>0.47241765522463419</v>
      </c>
      <c r="P7" s="1"/>
      <c r="Q7" s="5">
        <f t="shared" si="2"/>
        <v>3090.2857142857147</v>
      </c>
      <c r="R7" s="1"/>
      <c r="S7" s="1" t="s">
        <v>30</v>
      </c>
    </row>
    <row r="8" spans="1:19" x14ac:dyDescent="0.2">
      <c r="A8" s="1" t="s">
        <v>18</v>
      </c>
      <c r="B8" s="1"/>
      <c r="C8" s="1">
        <v>0.9</v>
      </c>
      <c r="D8" s="1"/>
      <c r="E8" s="1" t="s">
        <v>17</v>
      </c>
      <c r="F8" s="3">
        <f t="shared" si="0"/>
        <v>19.800000000000004</v>
      </c>
      <c r="G8" s="3">
        <f>F8-F7</f>
        <v>13.200000000000003</v>
      </c>
      <c r="H8" s="1">
        <f t="shared" ref="H8" si="4">C8*3.3</f>
        <v>2.9699999999999998</v>
      </c>
      <c r="I8" s="1"/>
      <c r="J8" s="1" t="s">
        <v>26</v>
      </c>
      <c r="K8" s="1"/>
      <c r="L8" s="1">
        <v>13</v>
      </c>
      <c r="M8" s="1"/>
      <c r="N8" s="4">
        <f>$D$12*(L8+L7+L6+L5+L4+L3)/($C$1+L8+L7+L6+L5+L4+L3)</f>
        <v>2.9693989071038249</v>
      </c>
      <c r="O8" s="4">
        <f t="shared" si="3"/>
        <v>0.47966676424668186</v>
      </c>
      <c r="P8" s="1"/>
      <c r="Q8" s="5">
        <f t="shared" si="2"/>
        <v>3685.6539162112931</v>
      </c>
      <c r="R8" s="1"/>
      <c r="S8" s="1" t="s">
        <v>29</v>
      </c>
    </row>
    <row r="9" spans="1:19" x14ac:dyDescent="0.2">
      <c r="A9" s="1" t="s">
        <v>19</v>
      </c>
      <c r="B9" s="1"/>
      <c r="C9" s="1"/>
      <c r="D9" s="1"/>
      <c r="E9" s="1"/>
      <c r="F9" s="1"/>
      <c r="G9" s="1"/>
      <c r="H9" s="1">
        <v>3.3</v>
      </c>
      <c r="I9" s="1"/>
      <c r="J9" s="1" t="s">
        <v>27</v>
      </c>
      <c r="K9" s="1"/>
      <c r="L9" s="1"/>
      <c r="M9" s="1"/>
      <c r="N9" s="4">
        <v>3.3</v>
      </c>
      <c r="O9" s="4">
        <f t="shared" si="3"/>
        <v>0.3306010928961749</v>
      </c>
      <c r="P9" s="1"/>
      <c r="Q9" s="5">
        <f t="shared" si="2"/>
        <v>4096</v>
      </c>
      <c r="R9" s="1"/>
      <c r="S9" s="1"/>
    </row>
    <row r="10" spans="1:19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">
      <c r="C12" t="s">
        <v>11</v>
      </c>
      <c r="D12">
        <v>3.3</v>
      </c>
    </row>
    <row r="13" spans="1:19" x14ac:dyDescent="0.2">
      <c r="C13" t="s">
        <v>12</v>
      </c>
      <c r="D13" t="s">
        <v>13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Z</dc:creator>
  <cp:lastModifiedBy>Ralf Z</cp:lastModifiedBy>
  <dcterms:created xsi:type="dcterms:W3CDTF">2025-08-02T10:38:47Z</dcterms:created>
  <dcterms:modified xsi:type="dcterms:W3CDTF">2026-03-11T09:31:33Z</dcterms:modified>
</cp:coreProperties>
</file>